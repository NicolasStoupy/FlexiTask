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FlexiTask\"/>
    </mc:Choice>
  </mc:AlternateContent>
  <xr:revisionPtr revIDLastSave="0" documentId="8_{29544319-C3DC-4C43-B5B4-B0B55B90D2B1}" xr6:coauthVersionLast="47" xr6:coauthVersionMax="47" xr10:uidLastSave="{00000000-0000-0000-0000-000000000000}"/>
  <bookViews>
    <workbookView xWindow="-120" yWindow="-120" windowWidth="29040" windowHeight="15720" xr2:uid="{B2174470-FC07-46BC-B88F-10549F61B782}"/>
  </bookViews>
  <sheets>
    <sheet name="Creation Demande de produit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1" l="1"/>
  <c r="AB13" i="1"/>
  <c r="AB14" i="1"/>
  <c r="AB15" i="1"/>
  <c r="AB11" i="1"/>
</calcChain>
</file>

<file path=xl/sharedStrings.xml><?xml version="1.0" encoding="utf-8"?>
<sst xmlns="http://schemas.openxmlformats.org/spreadsheetml/2006/main" count="283" uniqueCount="92">
  <si>
    <t>Article</t>
  </si>
  <si>
    <t>M333 ….</t>
  </si>
  <si>
    <t>Quantité</t>
  </si>
  <si>
    <t>Blk</t>
  </si>
  <si>
    <t>Date Limite</t>
  </si>
  <si>
    <t>Ajouter</t>
  </si>
  <si>
    <t xml:space="preserve">UO_ Transformation </t>
  </si>
  <si>
    <t>Référence SAP</t>
  </si>
  <si>
    <t xml:space="preserve">Liste de mes besoins </t>
  </si>
  <si>
    <t>Description</t>
  </si>
  <si>
    <t>Uom</t>
  </si>
  <si>
    <t>BLK</t>
  </si>
  <si>
    <t>UO Fournisseuse</t>
  </si>
  <si>
    <t>UO_L21</t>
  </si>
  <si>
    <t xml:space="preserve">Team Leader </t>
  </si>
  <si>
    <t>Client</t>
  </si>
  <si>
    <t>Liste des besoins</t>
  </si>
  <si>
    <t>Type Support</t>
  </si>
  <si>
    <t>X15</t>
  </si>
  <si>
    <t>Actions</t>
  </si>
  <si>
    <t xml:space="preserve">Stock </t>
  </si>
  <si>
    <t>Rack</t>
  </si>
  <si>
    <t>UO</t>
  </si>
  <si>
    <t>Avail Blk</t>
  </si>
  <si>
    <t>Al Ready Tasked</t>
  </si>
  <si>
    <t>S0320</t>
  </si>
  <si>
    <t>S0321</t>
  </si>
  <si>
    <t>UO_L22</t>
  </si>
  <si>
    <t>S0322</t>
  </si>
  <si>
    <t>UO_L23</t>
  </si>
  <si>
    <t>S0323</t>
  </si>
  <si>
    <t>UO_L24</t>
  </si>
  <si>
    <t>UO_L25</t>
  </si>
  <si>
    <t>Avail for task</t>
  </si>
  <si>
    <t>Check</t>
  </si>
  <si>
    <t>V</t>
  </si>
  <si>
    <t>Assigner</t>
  </si>
  <si>
    <t xml:space="preserve">Le besoin </t>
  </si>
  <si>
    <t>Status</t>
  </si>
  <si>
    <t>Created</t>
  </si>
  <si>
    <t>Support</t>
  </si>
  <si>
    <t>Task Status</t>
  </si>
  <si>
    <t>Waiting</t>
  </si>
  <si>
    <t>Create | Edit Task</t>
  </si>
  <si>
    <t>UO_Transport</t>
  </si>
  <si>
    <t>Type Tâche</t>
  </si>
  <si>
    <t>UO_Src</t>
  </si>
  <si>
    <t>Uo_Dest</t>
  </si>
  <si>
    <t>Mvmt Chevalet vide</t>
  </si>
  <si>
    <t>-</t>
  </si>
  <si>
    <t>Stillage Type</t>
  </si>
  <si>
    <t>Prendre | Livré</t>
  </si>
  <si>
    <t>Mvm Chevalet Plein</t>
  </si>
  <si>
    <t>Rack /Stillage</t>
  </si>
  <si>
    <t>PF0532</t>
  </si>
  <si>
    <t>A chargé</t>
  </si>
  <si>
    <t>A déchargé</t>
  </si>
  <si>
    <t>Stillage</t>
  </si>
  <si>
    <t>Client Final</t>
  </si>
  <si>
    <t>Completed</t>
  </si>
  <si>
    <t>PF0523</t>
  </si>
  <si>
    <t>FIFO Order</t>
  </si>
  <si>
    <t>Demande</t>
  </si>
  <si>
    <t xml:space="preserve">Assignation </t>
  </si>
  <si>
    <t xml:space="preserve">Assignation (Manuel / Automatique) </t>
  </si>
  <si>
    <t>Transport</t>
  </si>
  <si>
    <t>Chargement 1 UO_L21 (4BLK / PF0320)</t>
  </si>
  <si>
    <t>Chargement 2 UO_L22 (4BLK / PF0320)</t>
  </si>
  <si>
    <t>Transport Chevalet vide   (PF0320) =&gt; UO_L21</t>
  </si>
  <si>
    <t>Transport Chevalet partielle   (PF0320)=&gt; UO_L22</t>
  </si>
  <si>
    <t>Transport Chevalet complet  (PF0320) =&gt; UO_Transformation</t>
  </si>
  <si>
    <t>Demande completée</t>
  </si>
  <si>
    <t>Nouvelle Demande</t>
  </si>
  <si>
    <t>Chargement</t>
  </si>
  <si>
    <t>Type de demande</t>
  </si>
  <si>
    <t>Alimentation Ligne de transformation</t>
  </si>
  <si>
    <t>TaskID</t>
  </si>
  <si>
    <t>Type Task</t>
  </si>
  <si>
    <t>Task ITemID</t>
  </si>
  <si>
    <t>TaskReference</t>
  </si>
  <si>
    <t>Qty</t>
  </si>
  <si>
    <t>DeadLine</t>
  </si>
  <si>
    <t>Type</t>
  </si>
  <si>
    <t>Dependence</t>
  </si>
  <si>
    <t>Rack/Stillage</t>
  </si>
  <si>
    <t>Transport Vide</t>
  </si>
  <si>
    <t>RCK</t>
  </si>
  <si>
    <t>Uorg. Src</t>
  </si>
  <si>
    <t>Uorg Dest</t>
  </si>
  <si>
    <t>Transport Partielle</t>
  </si>
  <si>
    <t>Transport Complet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</si>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</sst>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4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3" tint="9.9978637043366805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/>
    <xf numFmtId="0" fontId="6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6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4" borderId="10" xfId="0" applyFill="1" applyBorder="1"/>
    <xf numFmtId="0" fontId="0" fillId="0" borderId="12" xfId="0" applyBorder="1"/>
    <xf numFmtId="0" fontId="0" fillId="0" borderId="11" xfId="0" applyBorder="1"/>
    <xf numFmtId="0" fontId="8" fillId="0" borderId="2" xfId="0" applyFont="1" applyBorder="1"/>
    <xf numFmtId="0" fontId="8" fillId="0" borderId="0" xfId="0" applyFont="1"/>
    <xf numFmtId="0" fontId="9" fillId="0" borderId="0" xfId="0" applyFont="1"/>
    <xf numFmtId="0" fontId="1" fillId="0" borderId="3" xfId="0" applyFont="1" applyBorder="1"/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9A0F-F3FC-423B-BF93-2416BEDEC4FD}">
  <dimension ref="B2:AF59"/>
  <sheetViews>
    <sheetView tabSelected="1" topLeftCell="P44" zoomScaleNormal="100" workbookViewId="0">
      <selection activeCell="X67" sqref="X67"/>
    </sheetView>
  </sheetViews>
  <sheetFormatPr baseColWidth="10" defaultRowHeight="15" x14ac:dyDescent="0.25"/>
  <cols>
    <col min="3" max="3" width="30.7109375" bestFit="1" customWidth="1"/>
    <col min="4" max="4" width="16.140625" bestFit="1" customWidth="1"/>
    <col min="5" max="5" width="34.140625" bestFit="1" customWidth="1"/>
    <col min="6" max="6" width="19.28515625" bestFit="1" customWidth="1"/>
    <col min="8" max="8" width="19.28515625" bestFit="1" customWidth="1"/>
    <col min="9" max="9" width="19.28515625" customWidth="1"/>
    <col min="10" max="10" width="11" bestFit="1" customWidth="1"/>
    <col min="11" max="11" width="12.28515625" customWidth="1"/>
    <col min="13" max="13" width="16.7109375" customWidth="1"/>
    <col min="14" max="14" width="13.28515625" bestFit="1" customWidth="1"/>
    <col min="15" max="15" width="12.5703125" customWidth="1"/>
    <col min="16" max="16" width="5.140625" bestFit="1" customWidth="1"/>
    <col min="17" max="17" width="10.7109375" bestFit="1" customWidth="1"/>
    <col min="18" max="18" width="19.28515625" bestFit="1" customWidth="1"/>
    <col min="19" max="19" width="19.28515625" customWidth="1"/>
    <col min="20" max="20" width="16.42578125" bestFit="1" customWidth="1"/>
    <col min="23" max="23" width="34.140625" bestFit="1" customWidth="1"/>
    <col min="24" max="24" width="19.28515625" bestFit="1" customWidth="1"/>
    <col min="25" max="25" width="11.140625" bestFit="1" customWidth="1"/>
    <col min="26" max="26" width="9.5703125" bestFit="1" customWidth="1"/>
    <col min="27" max="27" width="15.140625" bestFit="1" customWidth="1"/>
    <col min="28" max="28" width="12.28515625" bestFit="1" customWidth="1"/>
    <col min="29" max="29" width="19.28515625" bestFit="1" customWidth="1"/>
    <col min="30" max="30" width="14.42578125" bestFit="1" customWidth="1"/>
    <col min="31" max="31" width="17.42578125" bestFit="1" customWidth="1"/>
    <col min="33" max="33" width="12.7109375" bestFit="1" customWidth="1"/>
    <col min="34" max="34" width="12.85546875" bestFit="1" customWidth="1"/>
    <col min="35" max="35" width="19.28515625" bestFit="1" customWidth="1"/>
    <col min="36" max="36" width="12.85546875" customWidth="1"/>
    <col min="37" max="37" width="12.5703125" bestFit="1" customWidth="1"/>
    <col min="38" max="38" width="12.42578125" bestFit="1" customWidth="1"/>
  </cols>
  <sheetData>
    <row r="2" spans="2:30" x14ac:dyDescent="0.25">
      <c r="B2" s="1"/>
      <c r="C2" s="2"/>
      <c r="D2" s="2"/>
      <c r="E2" s="2"/>
      <c r="F2" s="25" t="s">
        <v>6</v>
      </c>
      <c r="G2" s="2"/>
      <c r="H2" s="2"/>
      <c r="I2" s="2"/>
      <c r="J2" s="3"/>
      <c r="L2" s="1"/>
      <c r="M2" s="2"/>
      <c r="N2" s="25" t="s">
        <v>14</v>
      </c>
      <c r="O2" s="2"/>
      <c r="P2" s="2"/>
      <c r="Q2" s="2"/>
      <c r="R2" s="2"/>
      <c r="S2" s="2"/>
      <c r="T2" s="2"/>
      <c r="U2" s="3"/>
      <c r="W2" s="1"/>
      <c r="X2" s="2"/>
      <c r="Y2" s="2"/>
      <c r="Z2" s="2"/>
      <c r="AA2" s="2"/>
      <c r="AB2" s="2"/>
      <c r="AC2" s="2"/>
      <c r="AD2" s="3"/>
    </row>
    <row r="3" spans="2:30" ht="15.75" x14ac:dyDescent="0.25">
      <c r="B3" s="4"/>
      <c r="J3" s="5"/>
      <c r="L3" s="4"/>
      <c r="U3" s="5"/>
      <c r="W3" s="4"/>
      <c r="X3" s="21" t="s">
        <v>37</v>
      </c>
      <c r="AD3" s="5"/>
    </row>
    <row r="4" spans="2:30" ht="21" x14ac:dyDescent="0.35">
      <c r="B4" s="4"/>
      <c r="C4" s="33" t="s">
        <v>72</v>
      </c>
      <c r="D4" s="2" t="s">
        <v>74</v>
      </c>
      <c r="E4" s="36" t="s">
        <v>75</v>
      </c>
      <c r="F4" s="2"/>
      <c r="G4" s="3"/>
      <c r="J4" s="5"/>
      <c r="L4" s="4"/>
      <c r="M4" s="34" t="s">
        <v>63</v>
      </c>
      <c r="U4" s="5"/>
      <c r="W4" s="4"/>
      <c r="AD4" s="5"/>
    </row>
    <row r="5" spans="2:30" ht="24" x14ac:dyDescent="0.4">
      <c r="B5" s="4"/>
      <c r="C5" s="4"/>
      <c r="D5" t="s">
        <v>0</v>
      </c>
      <c r="E5">
        <v>300000</v>
      </c>
      <c r="F5" t="s">
        <v>1</v>
      </c>
      <c r="G5" s="5"/>
      <c r="J5" s="5"/>
      <c r="L5" s="4"/>
      <c r="M5" s="22" t="s">
        <v>16</v>
      </c>
      <c r="U5" s="5"/>
      <c r="W5" s="4"/>
      <c r="X5" s="27" t="s">
        <v>0</v>
      </c>
      <c r="Y5" s="27" t="s">
        <v>9</v>
      </c>
      <c r="Z5" s="27" t="s">
        <v>2</v>
      </c>
      <c r="AA5" s="27" t="s">
        <v>10</v>
      </c>
      <c r="AB5" s="27" t="s">
        <v>4</v>
      </c>
      <c r="AC5" s="27" t="s">
        <v>15</v>
      </c>
      <c r="AD5" s="5"/>
    </row>
    <row r="6" spans="2:30" x14ac:dyDescent="0.25">
      <c r="B6" s="4"/>
      <c r="C6" s="4"/>
      <c r="D6" t="s">
        <v>2</v>
      </c>
      <c r="E6">
        <v>4</v>
      </c>
      <c r="F6" t="s">
        <v>3</v>
      </c>
      <c r="G6" s="5"/>
      <c r="J6" s="5"/>
      <c r="L6" s="4"/>
      <c r="U6" s="5"/>
      <c r="W6" s="4"/>
      <c r="X6" s="17">
        <v>300000</v>
      </c>
      <c r="Y6" s="17" t="s">
        <v>1</v>
      </c>
      <c r="Z6" s="19">
        <v>8</v>
      </c>
      <c r="AA6" s="17" t="s">
        <v>11</v>
      </c>
      <c r="AB6" s="18">
        <v>45976</v>
      </c>
      <c r="AC6" s="17" t="s">
        <v>6</v>
      </c>
      <c r="AD6" s="5"/>
    </row>
    <row r="7" spans="2:30" x14ac:dyDescent="0.25">
      <c r="B7" s="4"/>
      <c r="C7" s="4"/>
      <c r="D7" t="s">
        <v>4</v>
      </c>
      <c r="E7" s="6">
        <v>45976</v>
      </c>
      <c r="G7" s="5"/>
      <c r="J7" s="5"/>
      <c r="L7" s="4"/>
      <c r="M7" s="27" t="s">
        <v>0</v>
      </c>
      <c r="N7" s="27" t="s">
        <v>9</v>
      </c>
      <c r="O7" s="27" t="s">
        <v>2</v>
      </c>
      <c r="P7" s="27" t="s">
        <v>10</v>
      </c>
      <c r="Q7" s="27" t="s">
        <v>4</v>
      </c>
      <c r="R7" s="27" t="s">
        <v>15</v>
      </c>
      <c r="S7" s="27" t="s">
        <v>38</v>
      </c>
      <c r="T7" s="27" t="s">
        <v>19</v>
      </c>
      <c r="U7" s="5"/>
      <c r="W7" s="4"/>
      <c r="AD7" s="5"/>
    </row>
    <row r="8" spans="2:30" x14ac:dyDescent="0.25">
      <c r="B8" s="4"/>
      <c r="C8" s="4"/>
      <c r="D8" t="s">
        <v>7</v>
      </c>
      <c r="E8">
        <v>800006653</v>
      </c>
      <c r="G8" s="5"/>
      <c r="J8" s="5"/>
      <c r="L8" s="4"/>
      <c r="M8" s="17">
        <v>300000</v>
      </c>
      <c r="N8" s="17" t="s">
        <v>1</v>
      </c>
      <c r="O8" s="17">
        <v>8</v>
      </c>
      <c r="P8" s="17" t="s">
        <v>11</v>
      </c>
      <c r="Q8" s="18">
        <v>45976</v>
      </c>
      <c r="R8" s="17" t="s">
        <v>6</v>
      </c>
      <c r="S8" s="17" t="s">
        <v>39</v>
      </c>
      <c r="T8" s="20" t="s">
        <v>43</v>
      </c>
      <c r="U8" s="5"/>
      <c r="W8" s="4"/>
      <c r="AD8" s="5"/>
    </row>
    <row r="9" spans="2:30" ht="24" x14ac:dyDescent="0.4">
      <c r="B9" s="4"/>
      <c r="C9" s="4"/>
      <c r="D9" t="s">
        <v>12</v>
      </c>
      <c r="E9" s="15" t="s">
        <v>13</v>
      </c>
      <c r="G9" s="5"/>
      <c r="J9" s="5"/>
      <c r="L9" s="4"/>
      <c r="M9" s="12">
        <v>300000</v>
      </c>
      <c r="N9" s="12" t="s">
        <v>1</v>
      </c>
      <c r="O9" s="12">
        <v>5</v>
      </c>
      <c r="P9" s="12" t="s">
        <v>11</v>
      </c>
      <c r="Q9" s="13">
        <v>45977</v>
      </c>
      <c r="R9" s="12" t="s">
        <v>6</v>
      </c>
      <c r="S9" s="14" t="s">
        <v>42</v>
      </c>
      <c r="T9" s="16" t="s">
        <v>43</v>
      </c>
      <c r="U9" s="26"/>
      <c r="W9" s="4"/>
      <c r="X9" s="22" t="s">
        <v>20</v>
      </c>
      <c r="AD9" s="5"/>
    </row>
    <row r="10" spans="2:30" x14ac:dyDescent="0.25">
      <c r="B10" s="4"/>
      <c r="C10" s="4"/>
      <c r="D10" t="s">
        <v>17</v>
      </c>
      <c r="E10" s="15" t="s">
        <v>18</v>
      </c>
      <c r="G10" s="5"/>
      <c r="J10" s="5"/>
      <c r="L10" s="4"/>
      <c r="M10" s="12">
        <v>300002</v>
      </c>
      <c r="N10" s="12" t="s">
        <v>1</v>
      </c>
      <c r="O10" s="12">
        <v>6</v>
      </c>
      <c r="P10" s="12" t="s">
        <v>11</v>
      </c>
      <c r="Q10" s="13">
        <v>45978</v>
      </c>
      <c r="R10" s="12" t="s">
        <v>6</v>
      </c>
      <c r="S10" s="14" t="s">
        <v>42</v>
      </c>
      <c r="T10" s="16" t="s">
        <v>43</v>
      </c>
      <c r="U10" s="26"/>
      <c r="W10" s="27" t="s">
        <v>61</v>
      </c>
      <c r="X10" s="27" t="s">
        <v>53</v>
      </c>
      <c r="Y10" s="27" t="s">
        <v>22</v>
      </c>
      <c r="Z10" s="27" t="s">
        <v>23</v>
      </c>
      <c r="AA10" s="27" t="s">
        <v>24</v>
      </c>
      <c r="AB10" s="27" t="s">
        <v>33</v>
      </c>
      <c r="AC10" s="27" t="s">
        <v>34</v>
      </c>
      <c r="AD10" s="5"/>
    </row>
    <row r="11" spans="2:30" x14ac:dyDescent="0.25">
      <c r="B11" s="4"/>
      <c r="C11" s="8"/>
      <c r="D11" s="9"/>
      <c r="E11" s="11" t="s">
        <v>5</v>
      </c>
      <c r="F11" s="9"/>
      <c r="G11" s="10"/>
      <c r="J11" s="5"/>
      <c r="L11" s="4"/>
      <c r="M11" s="12">
        <v>300003</v>
      </c>
      <c r="N11" s="12" t="s">
        <v>1</v>
      </c>
      <c r="O11" s="12">
        <v>7</v>
      </c>
      <c r="P11" s="12" t="s">
        <v>11</v>
      </c>
      <c r="Q11" s="13">
        <v>45979</v>
      </c>
      <c r="R11" s="12" t="s">
        <v>6</v>
      </c>
      <c r="S11" s="14" t="s">
        <v>42</v>
      </c>
      <c r="T11" s="16" t="s">
        <v>43</v>
      </c>
      <c r="U11" s="26"/>
      <c r="W11" s="14">
        <v>1</v>
      </c>
      <c r="X11" s="19" t="s">
        <v>25</v>
      </c>
      <c r="Y11" s="19" t="s">
        <v>13</v>
      </c>
      <c r="Z11" s="19">
        <v>10</v>
      </c>
      <c r="AA11" s="19">
        <v>6</v>
      </c>
      <c r="AB11" s="19">
        <f>+Z11-AA11</f>
        <v>4</v>
      </c>
      <c r="AC11" s="19" t="s">
        <v>35</v>
      </c>
      <c r="AD11" s="5"/>
    </row>
    <row r="12" spans="2:30" x14ac:dyDescent="0.25">
      <c r="B12" s="4"/>
      <c r="J12" s="5"/>
      <c r="L12" s="4"/>
      <c r="M12" s="12">
        <v>300004</v>
      </c>
      <c r="N12" s="12" t="s">
        <v>1</v>
      </c>
      <c r="O12" s="12">
        <v>8</v>
      </c>
      <c r="P12" s="12" t="s">
        <v>11</v>
      </c>
      <c r="Q12" s="13">
        <v>45980</v>
      </c>
      <c r="R12" s="12" t="s">
        <v>6</v>
      </c>
      <c r="S12" s="14" t="s">
        <v>42</v>
      </c>
      <c r="T12" s="16" t="s">
        <v>43</v>
      </c>
      <c r="U12" s="26"/>
      <c r="W12" s="14">
        <v>2</v>
      </c>
      <c r="X12" s="19" t="s">
        <v>26</v>
      </c>
      <c r="Y12" s="19" t="s">
        <v>27</v>
      </c>
      <c r="Z12" s="19">
        <v>10</v>
      </c>
      <c r="AA12" s="19">
        <v>6</v>
      </c>
      <c r="AB12" s="19">
        <f>+Z12-AA12</f>
        <v>4</v>
      </c>
      <c r="AC12" s="19" t="s">
        <v>35</v>
      </c>
      <c r="AD12" s="5"/>
    </row>
    <row r="13" spans="2:30" ht="24" x14ac:dyDescent="0.4">
      <c r="B13" s="4"/>
      <c r="C13" s="22" t="s">
        <v>8</v>
      </c>
      <c r="J13" s="5"/>
      <c r="L13" s="4"/>
      <c r="M13" s="12">
        <v>300005</v>
      </c>
      <c r="N13" s="12" t="s">
        <v>1</v>
      </c>
      <c r="O13" s="12">
        <v>9</v>
      </c>
      <c r="P13" s="12" t="s">
        <v>11</v>
      </c>
      <c r="Q13" s="13">
        <v>45981</v>
      </c>
      <c r="R13" s="12" t="s">
        <v>6</v>
      </c>
      <c r="S13" s="14" t="s">
        <v>42</v>
      </c>
      <c r="T13" s="16" t="s">
        <v>43</v>
      </c>
      <c r="U13" s="26"/>
      <c r="W13" s="14">
        <v>3</v>
      </c>
      <c r="X13" s="14" t="s">
        <v>28</v>
      </c>
      <c r="Y13" s="14" t="s">
        <v>29</v>
      </c>
      <c r="Z13" s="14">
        <v>10</v>
      </c>
      <c r="AA13" s="14">
        <v>1</v>
      </c>
      <c r="AB13" s="14">
        <f>+Z13-AA13</f>
        <v>9</v>
      </c>
      <c r="AC13" s="14"/>
      <c r="AD13" s="5"/>
    </row>
    <row r="14" spans="2:30" x14ac:dyDescent="0.25">
      <c r="B14" s="4"/>
      <c r="J14" s="5"/>
      <c r="L14" s="4"/>
      <c r="M14" s="12">
        <v>300006</v>
      </c>
      <c r="N14" s="12" t="s">
        <v>1</v>
      </c>
      <c r="O14" s="12">
        <v>10</v>
      </c>
      <c r="P14" s="12" t="s">
        <v>11</v>
      </c>
      <c r="Q14" s="13">
        <v>45982</v>
      </c>
      <c r="R14" s="12" t="s">
        <v>6</v>
      </c>
      <c r="S14" s="14" t="s">
        <v>42</v>
      </c>
      <c r="T14" s="16" t="s">
        <v>43</v>
      </c>
      <c r="U14" s="26"/>
      <c r="W14" s="14">
        <v>4</v>
      </c>
      <c r="X14" s="14" t="s">
        <v>30</v>
      </c>
      <c r="Y14" s="14" t="s">
        <v>31</v>
      </c>
      <c r="Z14" s="14">
        <v>10</v>
      </c>
      <c r="AA14" s="14">
        <v>0</v>
      </c>
      <c r="AB14" s="14">
        <f>+Z14-AA14</f>
        <v>10</v>
      </c>
      <c r="AC14" s="14"/>
      <c r="AD14" s="5"/>
    </row>
    <row r="15" spans="2:30" x14ac:dyDescent="0.25">
      <c r="B15" s="4"/>
      <c r="C15" s="27" t="s">
        <v>0</v>
      </c>
      <c r="D15" s="27" t="s">
        <v>9</v>
      </c>
      <c r="E15" s="27" t="s">
        <v>2</v>
      </c>
      <c r="F15" s="27" t="s">
        <v>10</v>
      </c>
      <c r="G15" s="27" t="s">
        <v>4</v>
      </c>
      <c r="H15" s="27" t="s">
        <v>15</v>
      </c>
      <c r="I15" s="27" t="s">
        <v>40</v>
      </c>
      <c r="J15" s="27" t="s">
        <v>41</v>
      </c>
      <c r="L15" s="4"/>
      <c r="M15" s="12">
        <v>300007</v>
      </c>
      <c r="N15" s="12" t="s">
        <v>1</v>
      </c>
      <c r="O15" s="12">
        <v>11</v>
      </c>
      <c r="P15" s="12" t="s">
        <v>11</v>
      </c>
      <c r="Q15" s="13">
        <v>45983</v>
      </c>
      <c r="R15" s="12" t="s">
        <v>6</v>
      </c>
      <c r="S15" s="14" t="s">
        <v>42</v>
      </c>
      <c r="T15" s="16" t="s">
        <v>43</v>
      </c>
      <c r="U15" s="26"/>
      <c r="W15" s="14">
        <v>5</v>
      </c>
      <c r="X15" s="14" t="s">
        <v>54</v>
      </c>
      <c r="Y15" s="14" t="s">
        <v>32</v>
      </c>
      <c r="Z15" s="14">
        <v>8</v>
      </c>
      <c r="AA15" s="14">
        <v>0</v>
      </c>
      <c r="AB15" s="14">
        <f>+Z15-AA15</f>
        <v>8</v>
      </c>
      <c r="AC15" s="14"/>
      <c r="AD15" s="5"/>
    </row>
    <row r="16" spans="2:30" x14ac:dyDescent="0.25">
      <c r="B16" s="4"/>
      <c r="C16" s="17">
        <v>300000</v>
      </c>
      <c r="D16" s="17" t="s">
        <v>1</v>
      </c>
      <c r="E16" s="17">
        <v>8</v>
      </c>
      <c r="F16" s="17" t="s">
        <v>11</v>
      </c>
      <c r="G16" s="18">
        <v>45976</v>
      </c>
      <c r="H16" s="17" t="s">
        <v>6</v>
      </c>
      <c r="I16" s="17" t="s">
        <v>18</v>
      </c>
      <c r="J16" s="19" t="s">
        <v>39</v>
      </c>
      <c r="K16" s="24"/>
      <c r="L16" s="4"/>
      <c r="U16" s="5"/>
      <c r="W16" s="4"/>
      <c r="AD16" s="5"/>
    </row>
    <row r="17" spans="2:32" x14ac:dyDescent="0.25">
      <c r="B17" s="4"/>
      <c r="C17" s="12">
        <v>300000</v>
      </c>
      <c r="D17" s="12" t="s">
        <v>1</v>
      </c>
      <c r="E17" s="12">
        <v>5</v>
      </c>
      <c r="F17" s="12" t="s">
        <v>11</v>
      </c>
      <c r="G17" s="13">
        <v>45977</v>
      </c>
      <c r="H17" s="12" t="s">
        <v>6</v>
      </c>
      <c r="I17" s="12" t="s">
        <v>18</v>
      </c>
      <c r="J17" s="14" t="s">
        <v>42</v>
      </c>
      <c r="K17" s="15"/>
      <c r="L17" s="4"/>
      <c r="U17" s="5"/>
      <c r="W17" s="4"/>
      <c r="AD17" s="5"/>
    </row>
    <row r="18" spans="2:32" x14ac:dyDescent="0.25">
      <c r="B18" s="4"/>
      <c r="C18" s="12">
        <v>300002</v>
      </c>
      <c r="D18" s="12" t="s">
        <v>1</v>
      </c>
      <c r="E18" s="12">
        <v>6</v>
      </c>
      <c r="F18" s="12" t="s">
        <v>11</v>
      </c>
      <c r="G18" s="13">
        <v>45978</v>
      </c>
      <c r="H18" s="12" t="s">
        <v>6</v>
      </c>
      <c r="I18" s="12" t="s">
        <v>18</v>
      </c>
      <c r="J18" s="14" t="s">
        <v>42</v>
      </c>
      <c r="K18" s="15"/>
      <c r="L18" s="4"/>
      <c r="U18" s="5"/>
      <c r="W18" s="4"/>
      <c r="AD18" s="5"/>
    </row>
    <row r="19" spans="2:32" x14ac:dyDescent="0.25">
      <c r="B19" s="4"/>
      <c r="C19" s="12">
        <v>300003</v>
      </c>
      <c r="D19" s="12" t="s">
        <v>1</v>
      </c>
      <c r="E19" s="12">
        <v>7</v>
      </c>
      <c r="F19" s="12" t="s">
        <v>11</v>
      </c>
      <c r="G19" s="13">
        <v>45979</v>
      </c>
      <c r="H19" s="12" t="s">
        <v>6</v>
      </c>
      <c r="I19" s="12" t="s">
        <v>18</v>
      </c>
      <c r="J19" s="14" t="s">
        <v>42</v>
      </c>
      <c r="K19" s="15"/>
      <c r="L19" s="4"/>
      <c r="U19" s="5"/>
      <c r="W19" s="4"/>
      <c r="AD19" s="5"/>
    </row>
    <row r="20" spans="2:32" x14ac:dyDescent="0.25">
      <c r="B20" s="4"/>
      <c r="C20" s="12">
        <v>300004</v>
      </c>
      <c r="D20" s="12" t="s">
        <v>1</v>
      </c>
      <c r="E20" s="12">
        <v>8</v>
      </c>
      <c r="F20" s="12" t="s">
        <v>11</v>
      </c>
      <c r="G20" s="13">
        <v>45980</v>
      </c>
      <c r="H20" s="12" t="s">
        <v>6</v>
      </c>
      <c r="I20" s="12" t="s">
        <v>18</v>
      </c>
      <c r="J20" s="14" t="s">
        <v>42</v>
      </c>
      <c r="K20" s="15"/>
      <c r="L20" s="4"/>
      <c r="U20" s="5"/>
      <c r="W20" s="4"/>
      <c r="AD20" s="5"/>
    </row>
    <row r="21" spans="2:32" x14ac:dyDescent="0.25">
      <c r="B21" s="4"/>
      <c r="C21" s="12">
        <v>300005</v>
      </c>
      <c r="D21" s="12" t="s">
        <v>1</v>
      </c>
      <c r="E21" s="12">
        <v>9</v>
      </c>
      <c r="F21" s="12" t="s">
        <v>11</v>
      </c>
      <c r="G21" s="13">
        <v>45981</v>
      </c>
      <c r="H21" s="12" t="s">
        <v>6</v>
      </c>
      <c r="I21" s="12" t="s">
        <v>18</v>
      </c>
      <c r="J21" s="14" t="s">
        <v>42</v>
      </c>
      <c r="K21" s="15"/>
      <c r="L21" s="4"/>
      <c r="U21" s="5"/>
      <c r="W21" s="4"/>
      <c r="AC21" s="23" t="s">
        <v>36</v>
      </c>
      <c r="AD21" s="5"/>
    </row>
    <row r="22" spans="2:32" x14ac:dyDescent="0.25">
      <c r="B22" s="4"/>
      <c r="C22" s="12">
        <v>300006</v>
      </c>
      <c r="D22" s="12" t="s">
        <v>1</v>
      </c>
      <c r="E22" s="12">
        <v>10</v>
      </c>
      <c r="F22" s="12" t="s">
        <v>11</v>
      </c>
      <c r="G22" s="13">
        <v>45982</v>
      </c>
      <c r="H22" s="12" t="s">
        <v>6</v>
      </c>
      <c r="I22" s="12" t="s">
        <v>18</v>
      </c>
      <c r="J22" s="14" t="s">
        <v>42</v>
      </c>
      <c r="K22" s="15"/>
      <c r="L22" s="4"/>
      <c r="U22" s="5"/>
      <c r="W22" s="4"/>
      <c r="AD22" s="5"/>
    </row>
    <row r="23" spans="2:32" x14ac:dyDescent="0.25">
      <c r="B23" s="4"/>
      <c r="C23" s="12">
        <v>300007</v>
      </c>
      <c r="D23" s="12" t="s">
        <v>1</v>
      </c>
      <c r="E23" s="12">
        <v>11</v>
      </c>
      <c r="F23" s="12" t="s">
        <v>11</v>
      </c>
      <c r="G23" s="13">
        <v>45983</v>
      </c>
      <c r="H23" s="12" t="s">
        <v>6</v>
      </c>
      <c r="I23" s="12" t="s">
        <v>18</v>
      </c>
      <c r="J23" s="14" t="s">
        <v>42</v>
      </c>
      <c r="K23" s="15"/>
      <c r="L23" s="8"/>
      <c r="M23" s="9"/>
      <c r="N23" s="9"/>
      <c r="O23" s="9"/>
      <c r="P23" s="9"/>
      <c r="Q23" s="9"/>
      <c r="R23" s="9"/>
      <c r="S23" s="9"/>
      <c r="T23" s="9"/>
      <c r="U23" s="10"/>
      <c r="W23" s="8"/>
      <c r="X23" s="9"/>
      <c r="Y23" s="9"/>
      <c r="Z23" s="9"/>
      <c r="AA23" s="9"/>
      <c r="AB23" s="9"/>
      <c r="AC23" s="9"/>
      <c r="AD23" s="10"/>
    </row>
    <row r="24" spans="2:32" x14ac:dyDescent="0.25">
      <c r="B24" s="4"/>
      <c r="J24" s="5"/>
    </row>
    <row r="25" spans="2:32" x14ac:dyDescent="0.25">
      <c r="B25" s="8"/>
      <c r="C25" s="9"/>
      <c r="D25" s="9"/>
      <c r="E25" s="9"/>
      <c r="F25" s="9"/>
      <c r="G25" s="9"/>
      <c r="H25" s="9"/>
      <c r="I25" s="9"/>
      <c r="J25" s="10"/>
    </row>
    <row r="30" spans="2:32" ht="21" x14ac:dyDescent="0.35">
      <c r="B30" s="1"/>
      <c r="C30" s="2"/>
      <c r="D30" s="2"/>
      <c r="E30" s="2"/>
      <c r="F30" s="25" t="s">
        <v>44</v>
      </c>
      <c r="G30" s="2"/>
      <c r="H30" s="2"/>
      <c r="I30" s="2"/>
      <c r="J30" s="3"/>
      <c r="L30" s="33" t="s">
        <v>73</v>
      </c>
      <c r="M30" s="2"/>
      <c r="N30" s="2"/>
      <c r="O30" s="19" t="s">
        <v>13</v>
      </c>
      <c r="P30" s="2"/>
      <c r="Q30" s="2"/>
      <c r="R30" s="2"/>
      <c r="S30" s="2"/>
      <c r="T30" s="2"/>
      <c r="U30" s="3"/>
      <c r="W30" s="1"/>
      <c r="X30" s="2"/>
      <c r="Y30" s="2"/>
      <c r="Z30" s="19" t="s">
        <v>27</v>
      </c>
      <c r="AA30" s="2"/>
      <c r="AB30" s="2"/>
      <c r="AC30" s="2"/>
      <c r="AD30" s="2"/>
      <c r="AE30" s="2"/>
      <c r="AF30" s="3"/>
    </row>
    <row r="31" spans="2:32" ht="21" x14ac:dyDescent="0.35">
      <c r="B31" s="4"/>
      <c r="C31" s="34" t="s">
        <v>65</v>
      </c>
      <c r="J31" s="5"/>
      <c r="L31" s="4"/>
      <c r="U31" s="5"/>
      <c r="W31" s="4"/>
      <c r="AF31" s="5"/>
    </row>
    <row r="32" spans="2:32" x14ac:dyDescent="0.25">
      <c r="B32" s="4"/>
      <c r="J32" s="5"/>
      <c r="L32" s="4"/>
      <c r="M32" t="s">
        <v>55</v>
      </c>
      <c r="U32" s="5"/>
      <c r="W32" s="4"/>
      <c r="X32" t="s">
        <v>55</v>
      </c>
      <c r="AF32" s="5"/>
    </row>
    <row r="33" spans="2:32" x14ac:dyDescent="0.25">
      <c r="B33" s="4"/>
      <c r="J33" s="5"/>
      <c r="L33" s="4"/>
      <c r="U33" s="5"/>
      <c r="W33" s="4"/>
      <c r="AF33" s="5"/>
    </row>
    <row r="34" spans="2:32" x14ac:dyDescent="0.25">
      <c r="B34" s="4"/>
      <c r="C34" s="28" t="s">
        <v>45</v>
      </c>
      <c r="D34" s="28" t="s">
        <v>46</v>
      </c>
      <c r="E34" s="28" t="s">
        <v>47</v>
      </c>
      <c r="F34" s="28" t="s">
        <v>50</v>
      </c>
      <c r="G34" s="28" t="s">
        <v>41</v>
      </c>
      <c r="H34" s="28" t="s">
        <v>58</v>
      </c>
      <c r="I34" s="28" t="s">
        <v>19</v>
      </c>
      <c r="J34" s="5"/>
      <c r="L34" s="4"/>
      <c r="M34" s="27" t="s">
        <v>0</v>
      </c>
      <c r="N34" s="27" t="s">
        <v>9</v>
      </c>
      <c r="O34" s="27" t="s">
        <v>2</v>
      </c>
      <c r="P34" s="27" t="s">
        <v>10</v>
      </c>
      <c r="Q34" s="27" t="s">
        <v>4</v>
      </c>
      <c r="R34" s="27" t="s">
        <v>58</v>
      </c>
      <c r="S34" s="27" t="s">
        <v>21</v>
      </c>
      <c r="T34" s="27" t="s">
        <v>57</v>
      </c>
      <c r="U34" s="27" t="s">
        <v>38</v>
      </c>
      <c r="W34" s="4"/>
      <c r="X34" s="27" t="s">
        <v>0</v>
      </c>
      <c r="Y34" s="27" t="s">
        <v>9</v>
      </c>
      <c r="Z34" s="27" t="s">
        <v>2</v>
      </c>
      <c r="AA34" s="27" t="s">
        <v>10</v>
      </c>
      <c r="AB34" s="27" t="s">
        <v>4</v>
      </c>
      <c r="AC34" s="27" t="s">
        <v>58</v>
      </c>
      <c r="AD34" s="27" t="s">
        <v>21</v>
      </c>
      <c r="AE34" s="27" t="s">
        <v>57</v>
      </c>
      <c r="AF34" s="27" t="s">
        <v>38</v>
      </c>
    </row>
    <row r="35" spans="2:32" x14ac:dyDescent="0.25">
      <c r="B35" s="4"/>
      <c r="C35" s="12" t="s">
        <v>48</v>
      </c>
      <c r="D35" s="14" t="s">
        <v>49</v>
      </c>
      <c r="E35" s="19" t="s">
        <v>13</v>
      </c>
      <c r="F35" s="14" t="s">
        <v>18</v>
      </c>
      <c r="G35" s="14" t="s">
        <v>39</v>
      </c>
      <c r="H35" s="17" t="s">
        <v>6</v>
      </c>
      <c r="I35" s="29" t="s">
        <v>51</v>
      </c>
      <c r="J35" s="5"/>
      <c r="L35" s="4"/>
      <c r="M35" s="17">
        <v>300000</v>
      </c>
      <c r="N35" s="17" t="s">
        <v>1</v>
      </c>
      <c r="O35" s="17">
        <v>4</v>
      </c>
      <c r="P35" s="17" t="s">
        <v>11</v>
      </c>
      <c r="Q35" s="18">
        <v>45976</v>
      </c>
      <c r="R35" s="17" t="s">
        <v>6</v>
      </c>
      <c r="S35" s="17" t="s">
        <v>25</v>
      </c>
      <c r="T35" s="30" t="s">
        <v>60</v>
      </c>
      <c r="U35" s="5" t="s">
        <v>59</v>
      </c>
      <c r="W35" s="4"/>
      <c r="X35" s="17">
        <v>300000</v>
      </c>
      <c r="Y35" s="17" t="s">
        <v>1</v>
      </c>
      <c r="Z35" s="17">
        <v>4</v>
      </c>
      <c r="AA35" s="17" t="s">
        <v>11</v>
      </c>
      <c r="AB35" s="18">
        <v>45976</v>
      </c>
      <c r="AC35" s="17" t="s">
        <v>6</v>
      </c>
      <c r="AD35" s="19" t="s">
        <v>26</v>
      </c>
      <c r="AE35" s="30" t="s">
        <v>60</v>
      </c>
      <c r="AF35" s="5" t="s">
        <v>59</v>
      </c>
    </row>
    <row r="36" spans="2:32" x14ac:dyDescent="0.25">
      <c r="B36" s="4"/>
      <c r="C36" s="12" t="s">
        <v>52</v>
      </c>
      <c r="D36" s="19" t="s">
        <v>13</v>
      </c>
      <c r="E36" s="19" t="s">
        <v>27</v>
      </c>
      <c r="F36" s="14" t="s">
        <v>18</v>
      </c>
      <c r="G36" s="14" t="s">
        <v>42</v>
      </c>
      <c r="H36" s="17" t="s">
        <v>6</v>
      </c>
      <c r="I36" s="12"/>
      <c r="J36" s="5"/>
      <c r="L36" s="4"/>
      <c r="U36" s="5"/>
      <c r="W36" s="4"/>
      <c r="AF36" s="5"/>
    </row>
    <row r="37" spans="2:32" x14ac:dyDescent="0.25">
      <c r="B37" s="4"/>
      <c r="C37" s="12" t="s">
        <v>52</v>
      </c>
      <c r="D37" s="19" t="s">
        <v>27</v>
      </c>
      <c r="E37" s="17" t="s">
        <v>6</v>
      </c>
      <c r="F37" s="14" t="s">
        <v>18</v>
      </c>
      <c r="G37" s="14" t="s">
        <v>42</v>
      </c>
      <c r="H37" s="17" t="s">
        <v>6</v>
      </c>
      <c r="I37" s="12"/>
      <c r="J37" s="5"/>
      <c r="L37" s="4"/>
      <c r="U37" s="5"/>
      <c r="W37" s="4"/>
      <c r="AF37" s="5"/>
    </row>
    <row r="38" spans="2:32" x14ac:dyDescent="0.25">
      <c r="B38" s="4"/>
      <c r="J38" s="5"/>
      <c r="L38" s="4"/>
      <c r="M38" t="s">
        <v>56</v>
      </c>
      <c r="U38" s="5"/>
      <c r="W38" s="4"/>
      <c r="X38" t="s">
        <v>56</v>
      </c>
      <c r="AF38" s="5"/>
    </row>
    <row r="39" spans="2:32" x14ac:dyDescent="0.25">
      <c r="B39" s="4"/>
      <c r="J39" s="5"/>
      <c r="L39" s="4"/>
      <c r="M39" s="27" t="s">
        <v>0</v>
      </c>
      <c r="N39" s="27" t="s">
        <v>9</v>
      </c>
      <c r="O39" s="27" t="s">
        <v>2</v>
      </c>
      <c r="P39" s="27" t="s">
        <v>10</v>
      </c>
      <c r="Q39" s="27" t="s">
        <v>4</v>
      </c>
      <c r="R39" s="27" t="s">
        <v>15</v>
      </c>
      <c r="S39" s="27" t="s">
        <v>38</v>
      </c>
      <c r="U39" s="5"/>
      <c r="W39" s="4"/>
      <c r="X39" s="27" t="s">
        <v>0</v>
      </c>
      <c r="Y39" s="27" t="s">
        <v>9</v>
      </c>
      <c r="Z39" s="27" t="s">
        <v>2</v>
      </c>
      <c r="AA39" s="27" t="s">
        <v>10</v>
      </c>
      <c r="AB39" s="27" t="s">
        <v>4</v>
      </c>
      <c r="AC39" s="27" t="s">
        <v>15</v>
      </c>
      <c r="AD39" s="27" t="s">
        <v>38</v>
      </c>
      <c r="AF39" s="5"/>
    </row>
    <row r="40" spans="2:32" x14ac:dyDescent="0.25">
      <c r="B40" s="8"/>
      <c r="C40" s="9"/>
      <c r="D40" s="9"/>
      <c r="E40" s="9"/>
      <c r="F40" s="9"/>
      <c r="G40" s="9"/>
      <c r="H40" s="9"/>
      <c r="I40" s="9"/>
      <c r="J40" s="10"/>
      <c r="L40" s="8"/>
      <c r="M40" s="17"/>
      <c r="N40" s="17"/>
      <c r="O40" s="17"/>
      <c r="P40" s="17"/>
      <c r="Q40" s="18"/>
      <c r="R40" s="17"/>
      <c r="S40" s="17"/>
      <c r="T40" s="9"/>
      <c r="U40" s="10"/>
      <c r="W40" s="8"/>
      <c r="X40" s="17"/>
      <c r="Y40" s="17"/>
      <c r="Z40" s="17"/>
      <c r="AA40" s="17"/>
      <c r="AB40" s="18"/>
      <c r="AC40" s="17"/>
      <c r="AD40" s="17"/>
      <c r="AE40" s="9"/>
      <c r="AF40" s="10"/>
    </row>
    <row r="48" spans="2:32" x14ac:dyDescent="0.25">
      <c r="C48" s="41" t="s">
        <v>62</v>
      </c>
      <c r="E48" s="38" t="s">
        <v>64</v>
      </c>
      <c r="G48" s="38" t="s">
        <v>68</v>
      </c>
      <c r="I48" s="38" t="s">
        <v>66</v>
      </c>
      <c r="K48" s="38" t="s">
        <v>69</v>
      </c>
      <c r="M48" s="38" t="s">
        <v>67</v>
      </c>
      <c r="O48" s="38" t="s">
        <v>70</v>
      </c>
      <c r="R48" s="41" t="s">
        <v>71</v>
      </c>
      <c r="V48" s="27" t="s">
        <v>76</v>
      </c>
      <c r="W48" s="27" t="s">
        <v>77</v>
      </c>
      <c r="X48" s="27" t="s">
        <v>58</v>
      </c>
    </row>
    <row r="49" spans="3:32" x14ac:dyDescent="0.25">
      <c r="C49" s="42"/>
      <c r="D49" s="32"/>
      <c r="E49" s="39"/>
      <c r="F49" s="32"/>
      <c r="G49" s="39"/>
      <c r="H49" s="8"/>
      <c r="I49" s="39"/>
      <c r="J49" s="32"/>
      <c r="K49" s="39"/>
      <c r="L49" s="8"/>
      <c r="M49" s="39"/>
      <c r="O49" s="39"/>
      <c r="R49" s="42"/>
      <c r="V49">
        <v>1</v>
      </c>
      <c r="W49" t="s">
        <v>75</v>
      </c>
      <c r="X49" s="7" t="s">
        <v>6</v>
      </c>
    </row>
    <row r="50" spans="3:32" ht="63.75" customHeight="1" x14ac:dyDescent="0.25">
      <c r="C50" s="43"/>
      <c r="E50" s="40"/>
      <c r="G50" s="40"/>
      <c r="I50" s="40"/>
      <c r="K50" s="40"/>
      <c r="M50" s="40"/>
      <c r="N50" s="31"/>
      <c r="O50" s="40"/>
      <c r="P50" s="1"/>
      <c r="Q50" s="3"/>
      <c r="R50" s="43"/>
    </row>
    <row r="51" spans="3:32" ht="50.25" customHeight="1" x14ac:dyDescent="0.4">
      <c r="C51" s="33" t="s">
        <v>72</v>
      </c>
      <c r="E51" s="34" t="s">
        <v>63</v>
      </c>
      <c r="G51" s="34" t="s">
        <v>65</v>
      </c>
      <c r="I51" s="33" t="s">
        <v>73</v>
      </c>
      <c r="K51" s="34" t="s">
        <v>65</v>
      </c>
      <c r="M51" s="33" t="s">
        <v>73</v>
      </c>
      <c r="O51" s="34" t="s">
        <v>65</v>
      </c>
      <c r="R51" s="35" t="s">
        <v>8</v>
      </c>
      <c r="V51" s="27" t="s">
        <v>78</v>
      </c>
      <c r="W51" s="27" t="s">
        <v>79</v>
      </c>
      <c r="X51" s="27" t="s">
        <v>0</v>
      </c>
      <c r="Y51" s="27" t="s">
        <v>80</v>
      </c>
      <c r="Z51" s="27" t="s">
        <v>81</v>
      </c>
      <c r="AA51" s="27" t="s">
        <v>17</v>
      </c>
    </row>
    <row r="52" spans="3:32" x14ac:dyDescent="0.25">
      <c r="V52">
        <v>1</v>
      </c>
      <c r="W52">
        <v>1</v>
      </c>
      <c r="X52">
        <v>300001</v>
      </c>
      <c r="Y52">
        <v>5</v>
      </c>
      <c r="AA52" t="s">
        <v>18</v>
      </c>
    </row>
    <row r="54" spans="3:32" x14ac:dyDescent="0.25">
      <c r="W54" s="27" t="s">
        <v>78</v>
      </c>
      <c r="X54" s="27" t="s">
        <v>79</v>
      </c>
      <c r="Y54" s="27" t="s">
        <v>82</v>
      </c>
      <c r="Z54" s="27" t="s">
        <v>80</v>
      </c>
      <c r="AA54" s="27" t="s">
        <v>84</v>
      </c>
      <c r="AB54" s="27" t="s">
        <v>87</v>
      </c>
      <c r="AC54" s="27" t="s">
        <v>88</v>
      </c>
      <c r="AD54" s="27" t="s">
        <v>82</v>
      </c>
      <c r="AE54" s="27" t="s">
        <v>83</v>
      </c>
      <c r="AF54" s="27" t="s">
        <v>91</v>
      </c>
    </row>
    <row r="55" spans="3:32" x14ac:dyDescent="0.25">
      <c r="W55" s="14">
        <v>1</v>
      </c>
      <c r="X55" s="14">
        <v>1</v>
      </c>
      <c r="Y55" s="37" t="s">
        <v>73</v>
      </c>
      <c r="Z55" s="14">
        <v>4</v>
      </c>
      <c r="AA55" s="14" t="s">
        <v>28</v>
      </c>
      <c r="AB55" s="14" t="s">
        <v>27</v>
      </c>
      <c r="AC55" s="14"/>
      <c r="AD55" s="14" t="s">
        <v>86</v>
      </c>
      <c r="AE55" s="14">
        <v>2</v>
      </c>
      <c r="AF55" s="12">
        <v>1</v>
      </c>
    </row>
    <row r="56" spans="3:32" x14ac:dyDescent="0.25">
      <c r="W56" s="14">
        <v>2</v>
      </c>
      <c r="X56" s="14">
        <v>1</v>
      </c>
      <c r="Y56" s="37" t="s">
        <v>85</v>
      </c>
      <c r="Z56" s="14">
        <v>1</v>
      </c>
      <c r="AA56" s="14" t="s">
        <v>60</v>
      </c>
      <c r="AB56" s="12"/>
      <c r="AC56" s="14" t="s">
        <v>27</v>
      </c>
      <c r="AD56" s="14" t="s">
        <v>18</v>
      </c>
      <c r="AE56" s="14"/>
      <c r="AF56" s="12">
        <v>2</v>
      </c>
    </row>
    <row r="57" spans="3:32" x14ac:dyDescent="0.25">
      <c r="W57" s="14">
        <v>3</v>
      </c>
      <c r="X57" s="14">
        <v>1</v>
      </c>
      <c r="Y57" s="37" t="s">
        <v>89</v>
      </c>
      <c r="Z57" s="14">
        <v>1</v>
      </c>
      <c r="AA57" s="14" t="s">
        <v>60</v>
      </c>
      <c r="AB57" s="14" t="s">
        <v>27</v>
      </c>
      <c r="AC57" s="14" t="s">
        <v>13</v>
      </c>
      <c r="AD57" s="12"/>
      <c r="AE57" s="14">
        <v>1</v>
      </c>
      <c r="AF57" s="12">
        <v>3</v>
      </c>
    </row>
    <row r="58" spans="3:32" x14ac:dyDescent="0.25">
      <c r="W58" s="14">
        <v>4</v>
      </c>
      <c r="X58" s="14">
        <v>1</v>
      </c>
      <c r="Y58" s="37" t="s">
        <v>73</v>
      </c>
      <c r="Z58" s="14">
        <v>4</v>
      </c>
      <c r="AA58" s="14" t="s">
        <v>30</v>
      </c>
      <c r="AB58" s="14" t="s">
        <v>13</v>
      </c>
      <c r="AC58" s="14"/>
      <c r="AD58" s="14" t="s">
        <v>86</v>
      </c>
      <c r="AE58" s="14">
        <v>3</v>
      </c>
      <c r="AF58" s="12">
        <v>4</v>
      </c>
    </row>
    <row r="59" spans="3:32" x14ac:dyDescent="0.25">
      <c r="W59" s="14">
        <v>5</v>
      </c>
      <c r="X59" s="14">
        <v>1</v>
      </c>
      <c r="Y59" s="37" t="s">
        <v>90</v>
      </c>
      <c r="Z59" s="14">
        <v>1</v>
      </c>
      <c r="AA59" s="14" t="s">
        <v>60</v>
      </c>
      <c r="AB59" s="14" t="s">
        <v>13</v>
      </c>
      <c r="AC59" s="37" t="s">
        <v>6</v>
      </c>
      <c r="AD59" s="12"/>
      <c r="AE59" s="14">
        <v>4</v>
      </c>
      <c r="AF59" s="12">
        <v>5</v>
      </c>
    </row>
  </sheetData>
  <mergeCells count="8">
    <mergeCell ref="O48:O50"/>
    <mergeCell ref="R48:R50"/>
    <mergeCell ref="C48:C50"/>
    <mergeCell ref="E48:E50"/>
    <mergeCell ref="G48:G50"/>
    <mergeCell ref="I48:I50"/>
    <mergeCell ref="K48:K50"/>
    <mergeCell ref="M48:M5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Creation Demande de 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Stoupy</dc:creator>
  <cp:lastModifiedBy>Nicolas Stoupy</cp:lastModifiedBy>
  <dcterms:created xsi:type="dcterms:W3CDTF">2025-11-15T16:19:31Z</dcterms:created>
  <dcterms:modified xsi:type="dcterms:W3CDTF">2025-11-16T19:53:10Z</dcterms:modified>
</cp:coreProperties>
</file>